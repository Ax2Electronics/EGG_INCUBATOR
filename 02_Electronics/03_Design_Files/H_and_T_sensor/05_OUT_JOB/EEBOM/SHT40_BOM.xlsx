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KTI\EGG_INCUBATOR\EGG_INCUBATOR\02_Electronics\03_Design_Files\H_and_T_sensor\05_OUT_JOB\EEBOM\"/>
    </mc:Choice>
  </mc:AlternateContent>
  <xr:revisionPtr revIDLastSave="0" documentId="13_ncr:1_{48397864-B27F-495C-BB62-A7666580EE26}" xr6:coauthVersionLast="47" xr6:coauthVersionMax="47" xr10:uidLastSave="{00000000-0000-0000-0000-000000000000}"/>
  <bookViews>
    <workbookView xWindow="28680" yWindow="-120" windowWidth="29040" windowHeight="16440" xr2:uid="{0B7A275A-97FE-4730-909A-865F65307B83}"/>
  </bookViews>
  <sheets>
    <sheet name="SHT40_BOM" sheetId="1" r:id="rId1"/>
  </sheets>
  <definedNames>
    <definedName name="_xlnm.Print_Titles" localSheetId="0">SHT40_BOM!$1:$1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<sst xmlns="http://schemas.openxmlformats.org/spreadsheetml/2006/main" count="115" uniqueCount="103">
  <si>
    <t>Comment</t>
  </si>
  <si>
    <t>Description</t>
  </si>
  <si>
    <t>Designator</t>
  </si>
  <si>
    <t>Footprint</t>
  </si>
  <si>
    <t>LibRef</t>
  </si>
  <si>
    <t>Quantity</t>
  </si>
  <si>
    <t>JLCPCB Part Number</t>
  </si>
  <si>
    <t>Manufacturer Product Number</t>
  </si>
  <si>
    <t>Mouser Part Number</t>
  </si>
  <si>
    <t>DigiKey Part Number</t>
  </si>
  <si>
    <t>ComponentLink1URL</t>
  </si>
  <si>
    <t>ComponentLink2URL</t>
  </si>
  <si>
    <t>4.7uF</t>
  </si>
  <si>
    <t>4.7 µF ±10% 25V Ceramic Capacitor X5R 0805 (2012 Metric)</t>
  </si>
  <si>
    <t>C1, C2</t>
  </si>
  <si>
    <t>CAP_0805</t>
  </si>
  <si>
    <t>C000003</t>
  </si>
  <si>
    <t>C1779</t>
  </si>
  <si>
    <t>C0805C475K3PACTU</t>
  </si>
  <si>
    <t>399-C0805C475K3PACTUCT-ND</t>
  </si>
  <si>
    <t>https://www.digikey.com/en/products/detail/kemet/C0805C475K3PAC7800/1950665</t>
  </si>
  <si>
    <t>100nF</t>
  </si>
  <si>
    <t>0.1 µF ±10% 25V Ceramic Capacitor X7R 0603 (1608 Metric)</t>
  </si>
  <si>
    <t>C3</t>
  </si>
  <si>
    <t>CAP_0603</t>
  </si>
  <si>
    <t>C000007</t>
  </si>
  <si>
    <t>C1590</t>
  </si>
  <si>
    <t>KAM15AR71E104KT</t>
  </si>
  <si>
    <t>478-KAM15AR71E104KTCT-ND</t>
  </si>
  <si>
    <t>https://www.digikey.com/en/products/detail/kyocera-avx/06033C104K4T2A/8019250</t>
  </si>
  <si>
    <t>TLV75533PDBVR</t>
  </si>
  <si>
    <t>Linear Voltage Regulator IC Positive Fixed 1 Output 500mA SOT-23-5</t>
  </si>
  <si>
    <t>IC1</t>
  </si>
  <si>
    <t>SOT23_5</t>
  </si>
  <si>
    <t>C404027</t>
  </si>
  <si>
    <t>595-TLV75533PDBVR</t>
  </si>
  <si>
    <t>296-50411-1-ND</t>
  </si>
  <si>
    <t>https://www.digikey.com/en/products/detail/texas-instruments/TLV75533PDBVR/9356541</t>
  </si>
  <si>
    <t>https://eu.mouser.com/ProductDetail/Texas-Instruments/TLV75533PDBVR?qs=55YtniHzbhAKEwqeO2xJXQ%3D%3D</t>
  </si>
  <si>
    <t>SHT40-AD1F-R2</t>
  </si>
  <si>
    <t>Humidity, Temperature 0 ~ 100% RH I2C ±1.8% RH 4 s Surface Mount</t>
  </si>
  <si>
    <t>IC2</t>
  </si>
  <si>
    <t>SHT4X</t>
  </si>
  <si>
    <t>C7461846</t>
  </si>
  <si>
    <t>403-SHT40-AD1F-R2</t>
  </si>
  <si>
    <t>1649-SHT40-AD1F-R2CT-ND</t>
  </si>
  <si>
    <t>https://www.digikey.com/en/products/detail/sensirion-ag/SHT40-AD1F-R2/17180863?s=N4IgTCBcDaIMoAkAqAWADAWgIIBECMAYhgEoQC6AvkA</t>
  </si>
  <si>
    <t>https://eu.mouser.com/ProductDetail/Sensirion/SHT40-AD1F-R2?qs=rQFj71Wb1eVPr6MxV5k7AQ%3D%3D</t>
  </si>
  <si>
    <t>S4B-XH-SM4-TB</t>
  </si>
  <si>
    <t>Connector Header Surface Mount, Right Angle 4 position 0.098" (2.50mm)</t>
  </si>
  <si>
    <t>J1</t>
  </si>
  <si>
    <t>JST_S4B-XH-SM4-TB</t>
  </si>
  <si>
    <t>00000018</t>
  </si>
  <si>
    <t>C161861</t>
  </si>
  <si>
    <t>306-S4BXHSM4TBLFSN</t>
  </si>
  <si>
    <t>455-2262-1-ND</t>
  </si>
  <si>
    <t>https://www.digikey.com/en/products/detail/jst-sales-america-inc/S4B-XH-SM4-TB/1651064</t>
  </si>
  <si>
    <t>https://eu.mouser.com/ProductDetail/JST-Commercial/S4B-XH-SM4-TBLFSN?qs=QpmGXVUTftFIPbbIXV0K6A%3D%3D</t>
  </si>
  <si>
    <t>GREEN LED</t>
  </si>
  <si>
    <t>LED GREEN DIFFUSED 0603 SMD</t>
  </si>
  <si>
    <t>LED1</t>
  </si>
  <si>
    <t>DIOC1608X04N</t>
  </si>
  <si>
    <t>00000001</t>
  </si>
  <si>
    <t>https://www.digikey.com/en/products/detail/ams-osram-usa-inc/LG-Q396-PS-35/5249855</t>
  </si>
  <si>
    <t>1Kohm</t>
  </si>
  <si>
    <t>RES 1K OHM 1% 1/10W 0603</t>
  </si>
  <si>
    <t>R1</t>
  </si>
  <si>
    <t>RES_0603</t>
  </si>
  <si>
    <t>R000004</t>
  </si>
  <si>
    <t>https://www.digikey.com/en/products/detail/vishay-beyschlag-draloric-bc-components/MCT06030C1001FP500/2607821</t>
  </si>
  <si>
    <t>10kOhm</t>
  </si>
  <si>
    <t>10 kOhms ±1% 0.125W, 1/8W Chip Resistor 0603 (1608 Metric) Anti-Sulfur Thin Film</t>
  </si>
  <si>
    <t>RPU1, RPU2</t>
  </si>
  <si>
    <t>R000001</t>
  </si>
  <si>
    <t>MCT06030C1002FP500</t>
  </si>
  <si>
    <t>MCT0603-10.0K-CFCT-ND</t>
  </si>
  <si>
    <t>https://www.digikey.com/en/products/detail/vishay-beyschlag-draloric-bc-components/MCT06030C1002FP500/1850440</t>
  </si>
  <si>
    <t>SHT40-BD1B-R2</t>
  </si>
  <si>
    <t>1649-SHT40-BD1B-R2CT-ND</t>
  </si>
  <si>
    <t>https://www.digikey.com/en/products/detail/sensirion-ag/SHT40-BD1B-R2/19543006?s=N4IgTCBcDaIMoAkAqAWADAWgEIBECMWGAShALoC%2BQA</t>
  </si>
  <si>
    <t>403-SHT40-BD1B-R2</t>
  </si>
  <si>
    <t>https://eu.mouser.com/ProductDetail/Sensirion/SHT40-BD1B-R2?qs=ulEaXIWI0c%252BjgdkzNQkrGw%3D%3D</t>
  </si>
  <si>
    <t>SHT40-CD1B-R3</t>
  </si>
  <si>
    <t>1649-SHT40-CD1B-R3CT-ND</t>
  </si>
  <si>
    <t>https://www.digikey.com/en/products/detail/sensirion-ag/SHT40-CD1B-R3/19543014?s=N4IgTCBcDaIMoAkAqAWADAWgMIBECMAQhgEoDMABCALoC%2BQA</t>
  </si>
  <si>
    <t>403-SHT40-CD1B-R3</t>
  </si>
  <si>
    <t>https://eu.mouser.com/ProductDetail/Sensirion/SHT40-CD1B-R3?qs=ulEaXIWI0c%2FeyXO6eo5KrQ%3D%3D</t>
  </si>
  <si>
    <t>LG Q396-PS-35-0-20-R18</t>
  </si>
  <si>
    <t>475-LGQ396-PS-35CT-ND</t>
  </si>
  <si>
    <t>MCT06030C1001FP500</t>
  </si>
  <si>
    <t>MCT0603-1.00K-CFCT-ND</t>
  </si>
  <si>
    <t>XHP-4</t>
  </si>
  <si>
    <t>4 Position Rectangular Housing Connector Receptacle Natural 0.098" (2.50mm)</t>
  </si>
  <si>
    <t>455-2267-ND</t>
  </si>
  <si>
    <t>https://www.digikey.com/en/products/detail/jst-sales-america-inc/XHP-4/683353</t>
  </si>
  <si>
    <t>306-XHP-4</t>
  </si>
  <si>
    <t>https://eu.mouser.com/ProductDetail/JST-Commercial/XHP-4?qs=QpmGXVUTftGThrZgovvJKg%3D%3D</t>
  </si>
  <si>
    <t>SXH-001T-P0.6</t>
  </si>
  <si>
    <t>Socket Contact Tin 22-28 AWG Crimp Stamped</t>
  </si>
  <si>
    <t>455-1135TR-ND</t>
  </si>
  <si>
    <t>https://www.digikey.com/en/products/detail/jst-sales-america-inc/SXH-001T-P0-6/527371</t>
  </si>
  <si>
    <t>306-SXH-001T-P0.6</t>
  </si>
  <si>
    <t>https://eu.mouser.com/ProductDetail/JST-Commercial/SXH-001T-P0.6?qs=QpmGXVUTftHVe8yFBLIwfA%3D%3D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</si>
</sst>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1" quotePrefix="1" applyBorder="1"/>
    <xf numFmtId="0" fontId="0" fillId="0" borderId="2" xfId="0" quotePrefix="1" applyBorder="1"/>
    <xf numFmtId="0" fontId="0" fillId="0" borderId="2" xfId="0" applyBorder="1"/>
    <xf numFmtId="0" fontId="1" fillId="0" borderId="2" xfId="1" quotePrefix="1" applyBorder="1"/>
    <xf numFmtId="0" fontId="1" fillId="0" borderId="1" xfId="1" applyBorder="1"/>
    <xf numFmtId="0" fontId="0" fillId="3" borderId="1" xfId="0" applyFill="1" applyBorder="1"/>
    <xf numFmtId="0" fontId="0" fillId="3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vishay-beyschlag-draloric-bc-components/MCT06030C1002FP500/1850440" TargetMode="External"/><Relationship Id="rId13" Type="http://schemas.openxmlformats.org/officeDocument/2006/relationships/hyperlink" Target="https://eu.mouser.com/ProductDetail/Sensirion/SHT40-BD1B-R2?qs=ulEaXIWI0c%252BjgdkzNQkrGw%3D%3D" TargetMode="External"/><Relationship Id="rId18" Type="http://schemas.openxmlformats.org/officeDocument/2006/relationships/hyperlink" Target="https://www.digikey.com/en/products/detail/jst-sales-america-inc/SXH-001T-P0-6/527371" TargetMode="External"/><Relationship Id="rId3" Type="http://schemas.openxmlformats.org/officeDocument/2006/relationships/hyperlink" Target="https://www.digikey.com/en/products/detail/texas-instruments/TLV75533PDBVR/9356541" TargetMode="External"/><Relationship Id="rId7" Type="http://schemas.openxmlformats.org/officeDocument/2006/relationships/hyperlink" Target="https://www.digikey.com/en/products/detail/vishay-beyschlag-draloric-bc-components/MCT06030C1001FP500/2607821" TargetMode="External"/><Relationship Id="rId12" Type="http://schemas.openxmlformats.org/officeDocument/2006/relationships/hyperlink" Target="https://www.digikey.com/en/products/detail/sensirion-ag/SHT40-BD1B-R2/19543006?s=N4IgTCBcDaIMoAkAqAWADAWgEIBECMWGAShALoC%2BQA" TargetMode="External"/><Relationship Id="rId17" Type="http://schemas.openxmlformats.org/officeDocument/2006/relationships/hyperlink" Target="https://eu.mouser.com/ProductDetail/JST-Commercial/XHP-4?qs=QpmGXVUTftGThrZgovvJKg%3D%3D" TargetMode="External"/><Relationship Id="rId2" Type="http://schemas.openxmlformats.org/officeDocument/2006/relationships/hyperlink" Target="https://www.digikey.com/en/products/detail/kyocera-avx/06033C104K4T2A/8019250" TargetMode="External"/><Relationship Id="rId16" Type="http://schemas.openxmlformats.org/officeDocument/2006/relationships/hyperlink" Target="https://www.digikey.com/en/products/detail/jst-sales-america-inc/XHP-4/683353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kemet/C0805C475K3PAC7800/1950665" TargetMode="External"/><Relationship Id="rId6" Type="http://schemas.openxmlformats.org/officeDocument/2006/relationships/hyperlink" Target="https://www.digikey.com/en/products/detail/ams-osram-usa-inc/LG-Q396-PS-35/5249855" TargetMode="External"/><Relationship Id="rId11" Type="http://schemas.openxmlformats.org/officeDocument/2006/relationships/hyperlink" Target="https://eu.mouser.com/ProductDetail/JST-Commercial/S4B-XH-SM4-TBLFSN?qs=QpmGXVUTftFIPbbIXV0K6A%3D%3D" TargetMode="External"/><Relationship Id="rId5" Type="http://schemas.openxmlformats.org/officeDocument/2006/relationships/hyperlink" Target="https://www.digikey.com/en/products/detail/jst-sales-america-inc/S4B-XH-SM4-TB/1651064" TargetMode="External"/><Relationship Id="rId15" Type="http://schemas.openxmlformats.org/officeDocument/2006/relationships/hyperlink" Target="https://eu.mouser.com/ProductDetail/Sensirion/SHT40-CD1B-R3?qs=ulEaXIWI0c%2FeyXO6eo5KrQ%3D%3D" TargetMode="External"/><Relationship Id="rId10" Type="http://schemas.openxmlformats.org/officeDocument/2006/relationships/hyperlink" Target="https://eu.mouser.com/ProductDetail/Sensirion/SHT40-AD1F-R2?qs=rQFj71Wb1eVPr6MxV5k7AQ%3D%3D" TargetMode="External"/><Relationship Id="rId19" Type="http://schemas.openxmlformats.org/officeDocument/2006/relationships/hyperlink" Target="https://eu.mouser.com/ProductDetail/JST-Commercial/SXH-001T-P0.6?qs=QpmGXVUTftHVe8yFBLIwfA%3D%3D" TargetMode="External"/><Relationship Id="rId4" Type="http://schemas.openxmlformats.org/officeDocument/2006/relationships/hyperlink" Target="https://www.digikey.com/en/products/detail/sensirion-ag/SHT40-AD1F-R2/17180863?s=N4IgTCBcDaIMoAkAqAWADAWgIIBECMAYhgEoQC6AvkA" TargetMode="External"/><Relationship Id="rId9" Type="http://schemas.openxmlformats.org/officeDocument/2006/relationships/hyperlink" Target="https://eu.mouser.com/ProductDetail/Texas-Instruments/TLV75533PDBVR?qs=55YtniHzbhAKEwqeO2xJXQ%3D%3D" TargetMode="External"/><Relationship Id="rId14" Type="http://schemas.openxmlformats.org/officeDocument/2006/relationships/hyperlink" Target="https://www.digikey.com/en/products/detail/sensirion-ag/SHT40-CD1B-R3/19543014?s=N4IgTCBcDaIMoAkAqAWADAWgMIBECMAQhgEoDMABC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F0DE-145D-43F2-B47F-C37CA5EDD8AB}">
  <dimension ref="A1:L13"/>
  <sheetViews>
    <sheetView tabSelected="1" workbookViewId="0">
      <selection activeCell="D18" sqref="D18"/>
    </sheetView>
  </sheetViews>
  <sheetFormatPr defaultRowHeight="15" x14ac:dyDescent="0.25"/>
  <cols>
    <col min="1" max="1" width="19.7109375" customWidth="1"/>
    <col min="2" max="2" width="75.5703125" bestFit="1" customWidth="1"/>
    <col min="3" max="3" width="11.140625" bestFit="1" customWidth="1"/>
    <col min="4" max="4" width="18.5703125" bestFit="1" customWidth="1"/>
    <col min="5" max="5" width="15.28515625" bestFit="1" customWidth="1"/>
    <col min="6" max="6" width="8.7109375" bestFit="1" customWidth="1"/>
    <col min="7" max="7" width="19.140625" bestFit="1" customWidth="1"/>
    <col min="8" max="8" width="28.5703125" bestFit="1" customWidth="1"/>
    <col min="9" max="9" width="20.7109375" bestFit="1" customWidth="1"/>
    <col min="10" max="10" width="28.140625" bestFit="1" customWidth="1"/>
    <col min="11" max="11" width="144" bestFit="1" customWidth="1"/>
    <col min="12" max="12" width="107.42578125" bestFit="1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0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10">
        <v>20</v>
      </c>
      <c r="G2" s="2" t="s">
        <v>17</v>
      </c>
      <c r="H2" s="2" t="s">
        <v>18</v>
      </c>
      <c r="I2" s="1"/>
      <c r="J2" s="2" t="s">
        <v>19</v>
      </c>
      <c r="K2" s="5" t="s">
        <v>20</v>
      </c>
      <c r="L2" s="1"/>
    </row>
    <row r="3" spans="1:12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10">
        <v>10</v>
      </c>
      <c r="G3" s="2" t="s">
        <v>26</v>
      </c>
      <c r="H3" s="2" t="s">
        <v>27</v>
      </c>
      <c r="I3" s="1"/>
      <c r="J3" s="2" t="s">
        <v>28</v>
      </c>
      <c r="K3" s="5" t="s">
        <v>29</v>
      </c>
      <c r="L3" s="1"/>
    </row>
    <row r="4" spans="1:12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30</v>
      </c>
      <c r="F4" s="10">
        <v>10</v>
      </c>
      <c r="G4" s="2" t="s">
        <v>34</v>
      </c>
      <c r="H4" s="2" t="s">
        <v>30</v>
      </c>
      <c r="I4" s="2" t="s">
        <v>35</v>
      </c>
      <c r="J4" s="2" t="s">
        <v>36</v>
      </c>
      <c r="K4" s="5" t="s">
        <v>37</v>
      </c>
      <c r="L4" s="5" t="s">
        <v>38</v>
      </c>
    </row>
    <row r="5" spans="1:12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39</v>
      </c>
      <c r="F5" s="10">
        <v>4</v>
      </c>
      <c r="G5" s="2" t="s">
        <v>43</v>
      </c>
      <c r="H5" s="2" t="s">
        <v>39</v>
      </c>
      <c r="I5" s="2" t="s">
        <v>44</v>
      </c>
      <c r="J5" s="2" t="s">
        <v>45</v>
      </c>
      <c r="K5" s="5" t="s">
        <v>46</v>
      </c>
      <c r="L5" s="5" t="s">
        <v>47</v>
      </c>
    </row>
    <row r="6" spans="1:12" x14ac:dyDescent="0.25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10">
        <v>10</v>
      </c>
      <c r="G6" s="2" t="s">
        <v>53</v>
      </c>
      <c r="H6" s="2" t="s">
        <v>48</v>
      </c>
      <c r="I6" s="2" t="s">
        <v>54</v>
      </c>
      <c r="J6" s="2" t="s">
        <v>55</v>
      </c>
      <c r="K6" s="5" t="s">
        <v>56</v>
      </c>
      <c r="L6" s="5" t="s">
        <v>57</v>
      </c>
    </row>
    <row r="7" spans="1:12" x14ac:dyDescent="0.25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10">
        <v>10</v>
      </c>
      <c r="G7" s="1"/>
      <c r="H7" s="1" t="s">
        <v>87</v>
      </c>
      <c r="I7" s="1"/>
      <c r="J7" s="1" t="s">
        <v>88</v>
      </c>
      <c r="K7" s="5" t="s">
        <v>63</v>
      </c>
      <c r="L7" s="1"/>
    </row>
    <row r="8" spans="1:12" x14ac:dyDescent="0.25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10">
        <v>10</v>
      </c>
      <c r="G8" s="1"/>
      <c r="H8" s="1" t="s">
        <v>89</v>
      </c>
      <c r="I8" s="1"/>
      <c r="J8" s="1" t="s">
        <v>90</v>
      </c>
      <c r="K8" s="5" t="s">
        <v>69</v>
      </c>
      <c r="L8" s="1"/>
    </row>
    <row r="9" spans="1:12" x14ac:dyDescent="0.25">
      <c r="A9" s="6" t="s">
        <v>70</v>
      </c>
      <c r="B9" s="6" t="s">
        <v>71</v>
      </c>
      <c r="C9" s="6" t="s">
        <v>72</v>
      </c>
      <c r="D9" s="6" t="s">
        <v>67</v>
      </c>
      <c r="E9" s="6" t="s">
        <v>73</v>
      </c>
      <c r="F9" s="11">
        <f>2*10</f>
        <v>20</v>
      </c>
      <c r="G9" s="7"/>
      <c r="H9" s="6" t="s">
        <v>74</v>
      </c>
      <c r="I9" s="7"/>
      <c r="J9" s="6" t="s">
        <v>75</v>
      </c>
      <c r="K9" s="8" t="s">
        <v>76</v>
      </c>
      <c r="L9" s="7"/>
    </row>
    <row r="10" spans="1:12" s="1" customFormat="1" x14ac:dyDescent="0.25">
      <c r="A10" s="1" t="s">
        <v>77</v>
      </c>
      <c r="B10" s="2" t="s">
        <v>40</v>
      </c>
      <c r="F10" s="10">
        <v>3</v>
      </c>
      <c r="H10" s="1" t="s">
        <v>77</v>
      </c>
      <c r="I10" s="1" t="s">
        <v>80</v>
      </c>
      <c r="J10" s="1" t="s">
        <v>78</v>
      </c>
      <c r="K10" s="9" t="s">
        <v>79</v>
      </c>
      <c r="L10" s="9" t="s">
        <v>81</v>
      </c>
    </row>
    <row r="11" spans="1:12" s="1" customFormat="1" x14ac:dyDescent="0.25">
      <c r="A11" s="1" t="s">
        <v>82</v>
      </c>
      <c r="B11" s="2" t="s">
        <v>40</v>
      </c>
      <c r="F11" s="10">
        <v>3</v>
      </c>
      <c r="H11" s="1" t="s">
        <v>82</v>
      </c>
      <c r="I11" s="1" t="s">
        <v>85</v>
      </c>
      <c r="J11" s="1" t="s">
        <v>83</v>
      </c>
      <c r="K11" s="9" t="s">
        <v>84</v>
      </c>
      <c r="L11" s="9" t="s">
        <v>86</v>
      </c>
    </row>
    <row r="12" spans="1:12" s="1" customFormat="1" x14ac:dyDescent="0.25">
      <c r="A12" s="1" t="s">
        <v>91</v>
      </c>
      <c r="B12" s="1" t="s">
        <v>92</v>
      </c>
      <c r="F12" s="10">
        <v>10</v>
      </c>
      <c r="H12" s="1" t="s">
        <v>91</v>
      </c>
      <c r="I12" s="1" t="s">
        <v>95</v>
      </c>
      <c r="J12" s="1" t="s">
        <v>93</v>
      </c>
      <c r="K12" s="9" t="s">
        <v>94</v>
      </c>
      <c r="L12" s="9" t="s">
        <v>96</v>
      </c>
    </row>
    <row r="13" spans="1:12" s="1" customFormat="1" x14ac:dyDescent="0.25">
      <c r="A13" s="1" t="s">
        <v>97</v>
      </c>
      <c r="B13" s="1" t="s">
        <v>98</v>
      </c>
      <c r="F13" s="10">
        <v>40</v>
      </c>
      <c r="H13" s="1" t="s">
        <v>97</v>
      </c>
      <c r="I13" s="1" t="s">
        <v>101</v>
      </c>
      <c r="J13" s="1" t="s">
        <v>99</v>
      </c>
      <c r="K13" s="9" t="s">
        <v>100</v>
      </c>
      <c r="L13" s="9" t="s">
        <v>102</v>
      </c>
    </row>
  </sheetData>
  <hyperlinks>
    <hyperlink ref="K2" r:id="rId1" xr:uid="{DD10297C-E682-48C1-B0F1-BDD466FF7592}"/>
    <hyperlink ref="K3" r:id="rId2" xr:uid="{4DBCE741-F94A-4CE5-A125-85EF9C577B20}"/>
    <hyperlink ref="K4" r:id="rId3" xr:uid="{03DB2C71-63FF-4F55-9EFB-4FBA193207FD}"/>
    <hyperlink ref="K5" r:id="rId4" xr:uid="{EDF8B3C8-25B0-4ACF-9F00-C8E4AF84BDF5}"/>
    <hyperlink ref="K6" r:id="rId5" xr:uid="{09C8E0BB-B857-49C0-8ECD-28914900ADCF}"/>
    <hyperlink ref="K7" r:id="rId6" xr:uid="{7727494A-BD97-47D4-A367-0328995BA744}"/>
    <hyperlink ref="K8" r:id="rId7" xr:uid="{DDDC3B06-E472-4CB3-98C7-3312F8DE1A7F}"/>
    <hyperlink ref="K9" r:id="rId8" xr:uid="{719A60D4-FAC3-44A0-885E-42DD184F57F0}"/>
    <hyperlink ref="L4" r:id="rId9" xr:uid="{D2A87F6C-514F-41D3-A259-5E54C9EFE126}"/>
    <hyperlink ref="L5" r:id="rId10" xr:uid="{3CCC02FD-4D7E-4021-819C-2A8ACA35F5CA}"/>
    <hyperlink ref="L6" r:id="rId11" xr:uid="{F5647258-8CEC-4F39-BA7F-62D2EA741639}"/>
    <hyperlink ref="K10" r:id="rId12" xr:uid="{0DD03DCF-E7F6-4983-819A-08C0E534AB3D}"/>
    <hyperlink ref="L10" r:id="rId13" xr:uid="{4C29A587-2FC5-481B-947E-5CF1C9F8AF69}"/>
    <hyperlink ref="K11" r:id="rId14" xr:uid="{8429FD06-CB32-4333-B9A2-AB9C86F600D8}"/>
    <hyperlink ref="L11" r:id="rId15" xr:uid="{E3F23EFD-FF85-46E0-BD33-EC55779CDCE0}"/>
    <hyperlink ref="K12" r:id="rId16" xr:uid="{C163704A-5E8C-419D-8870-02C85C2DE55D}"/>
    <hyperlink ref="L12" r:id="rId17" xr:uid="{E0A64CDA-8FEA-44EC-B96D-F54EA1CBA840}"/>
    <hyperlink ref="K13" r:id="rId18" xr:uid="{AF5F2BAF-527A-44B3-8438-6686AF74D337}"/>
    <hyperlink ref="L13" r:id="rId19" xr:uid="{94176A14-4394-4762-AE15-644FC8AF839B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SHT40_BOM</vt:lpstr>
      <vt:lpstr>SHT40_BOM!Print_Titles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Aleksic</dc:creator>
  <cp:lastModifiedBy>Aleksandar Aleksic</cp:lastModifiedBy>
  <dcterms:created xsi:type="dcterms:W3CDTF">2026-05-29T21:21:43Z</dcterms:created>
  <dcterms:modified xsi:type="dcterms:W3CDTF">2026-05-29T22:06:36Z</dcterms:modified>
</cp:coreProperties>
</file>