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ROJEKTI\EGG_INCUBATOR\EGG_INCUBATOR\02_Electronics\01_Concept\"/>
    </mc:Choice>
  </mc:AlternateContent>
  <xr:revisionPtr revIDLastSave="0" documentId="13_ncr:1_{074EAB96-30A4-43D8-8A11-8788B23B263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G4" i="1"/>
  <c r="G6" i="1"/>
  <c r="J4" i="1"/>
  <c r="J6" i="1"/>
  <c r="J8" i="1" s="1"/>
  <c r="M4" i="1"/>
  <c r="O12" i="1"/>
  <c r="M6" i="1"/>
  <c r="M8" i="1" s="1"/>
  <c r="R56" i="1"/>
  <c r="R52" i="1"/>
  <c r="R48" i="1"/>
  <c r="R44" i="1"/>
  <c r="R40" i="1"/>
  <c r="R36" i="1"/>
  <c r="R32" i="1"/>
  <c r="R28" i="1"/>
  <c r="R24" i="1"/>
  <c r="R20" i="1"/>
  <c r="R16" i="1"/>
  <c r="R12" i="1"/>
  <c r="R8" i="1"/>
  <c r="D8" i="1"/>
  <c r="G8" i="1"/>
  <c r="J12" i="1"/>
  <c r="J16" i="1"/>
  <c r="J20" i="1"/>
  <c r="J24" i="1"/>
  <c r="J28" i="1"/>
  <c r="J32" i="1"/>
  <c r="M12" i="1"/>
  <c r="M20" i="1"/>
  <c r="M16" i="1"/>
</calcChain>
</file>

<file path=xl/sharedStrings.xml><?xml version="1.0" encoding="utf-8"?>
<sst xmlns="http://schemas.openxmlformats.org/spreadsheetml/2006/main" count="111" uniqueCount="28">
  <si>
    <t>24V/12V External Voltage Supply</t>
  </si>
  <si>
    <t xml:space="preserve"> DC/DC
12V VOUT</t>
  </si>
  <si>
    <t xml:space="preserve"> DC/DC
5V VOUT</t>
  </si>
  <si>
    <t xml:space="preserve"> DC/DC
3V3 VOUT</t>
  </si>
  <si>
    <t>12V DC FAN</t>
  </si>
  <si>
    <t>NEMA17 Stepper Motor</t>
  </si>
  <si>
    <t>12V Electromagnetic Valve</t>
  </si>
  <si>
    <t xml:space="preserve">12V LED Strip
</t>
  </si>
  <si>
    <t>DC/DC isolated RFM-0505S</t>
  </si>
  <si>
    <t>NEXTION 3.5in DISCOVERY DISPLAY</t>
  </si>
  <si>
    <t>SERVO - egg tray LOCK Mechanism Option x4</t>
  </si>
  <si>
    <t>MCU
STM32F401RE</t>
  </si>
  <si>
    <t>RTC 
MAX31334EWC+T
OR
MAX31331TETB+</t>
  </si>
  <si>
    <t>uSD CARD</t>
  </si>
  <si>
    <t>Temperature Sensor
DS18B20</t>
  </si>
  <si>
    <t>Temperature&amp;Humidity Sensor
SHT40</t>
  </si>
  <si>
    <t>Water level sensor x2</t>
  </si>
  <si>
    <t>Door open sensor</t>
  </si>
  <si>
    <t>WiFi ESP32</t>
  </si>
  <si>
    <t>STEPPER DRIVER
DRV8462
DRV8461
DRV8452</t>
  </si>
  <si>
    <t>MOC3061 + triac</t>
  </si>
  <si>
    <t>AMC23C10</t>
  </si>
  <si>
    <t>MOC3051M + triac</t>
  </si>
  <si>
    <t>Voltage Supervisor
TPS3842</t>
  </si>
  <si>
    <t>I [A]</t>
  </si>
  <si>
    <t>V [V]</t>
  </si>
  <si>
    <t>P [W]</t>
  </si>
  <si>
    <t>I_IN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</si>
</sst>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268941</xdr:rowOff>
    </xdr:from>
    <xdr:to>
      <xdr:col>6</xdr:col>
      <xdr:colOff>0</xdr:colOff>
      <xdr:row>4</xdr:row>
      <xdr:rowOff>268941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CB591BD-1253-0A74-E293-31B26122EF4D}"/>
            </a:ext>
          </a:extLst>
        </xdr:cNvPr>
        <xdr:cNvCxnSpPr/>
      </xdr:nvCxnSpPr>
      <xdr:spPr>
        <a:xfrm>
          <a:off x="2879912" y="1042147"/>
          <a:ext cx="1210235" cy="0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8283</xdr:colOff>
      <xdr:row>4</xdr:row>
      <xdr:rowOff>273326</xdr:rowOff>
    </xdr:from>
    <xdr:to>
      <xdr:col>9</xdr:col>
      <xdr:colOff>8283</xdr:colOff>
      <xdr:row>4</xdr:row>
      <xdr:rowOff>273326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3E6A4DA-2A8E-4A15-B31D-8F8897D0844B}"/>
            </a:ext>
          </a:extLst>
        </xdr:cNvPr>
        <xdr:cNvCxnSpPr/>
      </xdr:nvCxnSpPr>
      <xdr:spPr>
        <a:xfrm>
          <a:off x="5143500" y="1043609"/>
          <a:ext cx="1225826" cy="0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8282</xdr:colOff>
      <xdr:row>4</xdr:row>
      <xdr:rowOff>281609</xdr:rowOff>
    </xdr:from>
    <xdr:to>
      <xdr:col>12</xdr:col>
      <xdr:colOff>8282</xdr:colOff>
      <xdr:row>4</xdr:row>
      <xdr:rowOff>281609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9EEF8F8-3157-4F5D-A2C2-B5678962C6C1}"/>
            </a:ext>
          </a:extLst>
        </xdr:cNvPr>
        <xdr:cNvCxnSpPr/>
      </xdr:nvCxnSpPr>
      <xdr:spPr>
        <a:xfrm>
          <a:off x="7421217" y="1051892"/>
          <a:ext cx="1225826" cy="0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11595</xdr:colOff>
      <xdr:row>4</xdr:row>
      <xdr:rowOff>276640</xdr:rowOff>
    </xdr:from>
    <xdr:to>
      <xdr:col>17</xdr:col>
      <xdr:colOff>11595</xdr:colOff>
      <xdr:row>4</xdr:row>
      <xdr:rowOff>276640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CF74BE7-C842-43E6-A135-FA2851F5CC85}"/>
            </a:ext>
          </a:extLst>
        </xdr:cNvPr>
        <xdr:cNvCxnSpPr/>
      </xdr:nvCxnSpPr>
      <xdr:spPr>
        <a:xfrm>
          <a:off x="9859617" y="1046923"/>
          <a:ext cx="1225826" cy="0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1171575</xdr:colOff>
      <xdr:row>4</xdr:row>
      <xdr:rowOff>266700</xdr:rowOff>
    </xdr:from>
    <xdr:to>
      <xdr:col>17</xdr:col>
      <xdr:colOff>24564</xdr:colOff>
      <xdr:row>8</xdr:row>
      <xdr:rowOff>386013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5A1F17A5-557D-6962-C65A-0AF91768601F}"/>
            </a:ext>
          </a:extLst>
        </xdr:cNvPr>
        <xdr:cNvCxnSpPr/>
      </xdr:nvCxnSpPr>
      <xdr:spPr>
        <a:xfrm>
          <a:off x="9772650" y="1038225"/>
          <a:ext cx="2501064" cy="1281363"/>
        </a:xfrm>
        <a:prstGeom prst="bentConnector3">
          <a:avLst>
            <a:gd name="adj1" fmla="val 74144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598715</xdr:colOff>
      <xdr:row>8</xdr:row>
      <xdr:rowOff>375557</xdr:rowOff>
    </xdr:from>
    <xdr:to>
      <xdr:col>17</xdr:col>
      <xdr:colOff>4513</xdr:colOff>
      <xdr:row>12</xdr:row>
      <xdr:rowOff>291265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C721407B-298C-4CDA-90A3-352B5D65DC5F}"/>
            </a:ext>
          </a:extLst>
        </xdr:cNvPr>
        <xdr:cNvCxnSpPr/>
      </xdr:nvCxnSpPr>
      <xdr:spPr>
        <a:xfrm rot="16200000" flipH="1">
          <a:off x="10089195" y="2636205"/>
          <a:ext cx="1270980" cy="624998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598715</xdr:colOff>
      <xdr:row>12</xdr:row>
      <xdr:rowOff>190499</xdr:rowOff>
    </xdr:from>
    <xdr:to>
      <xdr:col>17</xdr:col>
      <xdr:colOff>4513</xdr:colOff>
      <xdr:row>16</xdr:row>
      <xdr:rowOff>296708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A531D67F-050E-4248-B0BD-08A7D88EF375}"/>
            </a:ext>
          </a:extLst>
        </xdr:cNvPr>
        <xdr:cNvCxnSpPr/>
      </xdr:nvCxnSpPr>
      <xdr:spPr>
        <a:xfrm rot="16200000" flipH="1">
          <a:off x="10089195" y="3806419"/>
          <a:ext cx="1270980" cy="624998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598714</xdr:colOff>
      <xdr:row>16</xdr:row>
      <xdr:rowOff>179614</xdr:rowOff>
    </xdr:from>
    <xdr:to>
      <xdr:col>17</xdr:col>
      <xdr:colOff>4512</xdr:colOff>
      <xdr:row>20</xdr:row>
      <xdr:rowOff>285823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BCAADC1A-D26E-4BD4-9B22-52E178019656}"/>
            </a:ext>
          </a:extLst>
        </xdr:cNvPr>
        <xdr:cNvCxnSpPr/>
      </xdr:nvCxnSpPr>
      <xdr:spPr>
        <a:xfrm rot="16200000" flipH="1">
          <a:off x="10089194" y="4960305"/>
          <a:ext cx="1270980" cy="624998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593271</xdr:colOff>
      <xdr:row>20</xdr:row>
      <xdr:rowOff>168729</xdr:rowOff>
    </xdr:from>
    <xdr:to>
      <xdr:col>16</xdr:col>
      <xdr:colOff>608669</xdr:colOff>
      <xdr:row>24</xdr:row>
      <xdr:rowOff>274937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F962AA25-61A7-4A55-9908-338A8D606A29}"/>
            </a:ext>
          </a:extLst>
        </xdr:cNvPr>
        <xdr:cNvCxnSpPr/>
      </xdr:nvCxnSpPr>
      <xdr:spPr>
        <a:xfrm rot="16200000" flipH="1">
          <a:off x="10083751" y="6114191"/>
          <a:ext cx="1270980" cy="624998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593271</xdr:colOff>
      <xdr:row>24</xdr:row>
      <xdr:rowOff>81642</xdr:rowOff>
    </xdr:from>
    <xdr:to>
      <xdr:col>16</xdr:col>
      <xdr:colOff>608669</xdr:colOff>
      <xdr:row>28</xdr:row>
      <xdr:rowOff>187851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51B64DF3-BCD9-4B3C-8598-1815AFCFFE4D}"/>
            </a:ext>
          </a:extLst>
        </xdr:cNvPr>
        <xdr:cNvCxnSpPr/>
      </xdr:nvCxnSpPr>
      <xdr:spPr>
        <a:xfrm rot="16200000" flipH="1">
          <a:off x="10083751" y="7191876"/>
          <a:ext cx="1270980" cy="624998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593271</xdr:colOff>
      <xdr:row>27</xdr:row>
      <xdr:rowOff>16327</xdr:rowOff>
    </xdr:from>
    <xdr:to>
      <xdr:col>16</xdr:col>
      <xdr:colOff>608669</xdr:colOff>
      <xdr:row>32</xdr:row>
      <xdr:rowOff>111650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1184086D-E915-43BA-826B-1322C0E63B11}"/>
            </a:ext>
          </a:extLst>
        </xdr:cNvPr>
        <xdr:cNvCxnSpPr/>
      </xdr:nvCxnSpPr>
      <xdr:spPr>
        <a:xfrm rot="16200000" flipH="1">
          <a:off x="10083751" y="8089947"/>
          <a:ext cx="1270980" cy="624998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593271</xdr:colOff>
      <xdr:row>31</xdr:row>
      <xdr:rowOff>114299</xdr:rowOff>
    </xdr:from>
    <xdr:to>
      <xdr:col>16</xdr:col>
      <xdr:colOff>608669</xdr:colOff>
      <xdr:row>36</xdr:row>
      <xdr:rowOff>400122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64723AE9-43CC-42F7-80B0-6E1A96C818D3}"/>
            </a:ext>
          </a:extLst>
        </xdr:cNvPr>
        <xdr:cNvCxnSpPr/>
      </xdr:nvCxnSpPr>
      <xdr:spPr>
        <a:xfrm rot="16200000" flipH="1">
          <a:off x="10083751" y="9162190"/>
          <a:ext cx="1270980" cy="624998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592708</xdr:colOff>
      <xdr:row>36</xdr:row>
      <xdr:rowOff>194441</xdr:rowOff>
    </xdr:from>
    <xdr:to>
      <xdr:col>16</xdr:col>
      <xdr:colOff>609420</xdr:colOff>
      <xdr:row>40</xdr:row>
      <xdr:rowOff>110149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91427595-7323-4525-ABF5-43AFA2B2AE0E}"/>
            </a:ext>
          </a:extLst>
        </xdr:cNvPr>
        <xdr:cNvCxnSpPr/>
      </xdr:nvCxnSpPr>
      <xdr:spPr>
        <a:xfrm rot="16200000" flipH="1">
          <a:off x="10095951" y="10148473"/>
          <a:ext cx="1262346" cy="627626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594021</xdr:colOff>
      <xdr:row>37</xdr:row>
      <xdr:rowOff>189186</xdr:rowOff>
    </xdr:from>
    <xdr:to>
      <xdr:col>16</xdr:col>
      <xdr:colOff>610733</xdr:colOff>
      <xdr:row>44</xdr:row>
      <xdr:rowOff>98325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DB0A7376-4499-4635-9681-6B56F618F6B6}"/>
            </a:ext>
          </a:extLst>
        </xdr:cNvPr>
        <xdr:cNvCxnSpPr/>
      </xdr:nvCxnSpPr>
      <xdr:spPr>
        <a:xfrm rot="16200000" flipH="1">
          <a:off x="10097264" y="10911787"/>
          <a:ext cx="1262346" cy="627626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588766</xdr:colOff>
      <xdr:row>42</xdr:row>
      <xdr:rowOff>0</xdr:rowOff>
    </xdr:from>
    <xdr:to>
      <xdr:col>16</xdr:col>
      <xdr:colOff>605478</xdr:colOff>
      <xdr:row>48</xdr:row>
      <xdr:rowOff>99639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D30BE26A-4858-4830-A748-4CB39E76074F}"/>
            </a:ext>
          </a:extLst>
        </xdr:cNvPr>
        <xdr:cNvCxnSpPr/>
      </xdr:nvCxnSpPr>
      <xdr:spPr>
        <a:xfrm rot="16200000" flipH="1">
          <a:off x="10092009" y="11688239"/>
          <a:ext cx="1262346" cy="627626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590079</xdr:colOff>
      <xdr:row>46</xdr:row>
      <xdr:rowOff>119555</xdr:rowOff>
    </xdr:from>
    <xdr:to>
      <xdr:col>16</xdr:col>
      <xdr:colOff>606791</xdr:colOff>
      <xdr:row>52</xdr:row>
      <xdr:rowOff>219194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EEA4B274-551D-4F99-8274-81015048FAAE}"/>
            </a:ext>
          </a:extLst>
        </xdr:cNvPr>
        <xdr:cNvCxnSpPr/>
      </xdr:nvCxnSpPr>
      <xdr:spPr>
        <a:xfrm rot="16200000" flipH="1">
          <a:off x="10093322" y="12582932"/>
          <a:ext cx="1262346" cy="627626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4</xdr:row>
      <xdr:rowOff>266700</xdr:rowOff>
    </xdr:from>
    <xdr:to>
      <xdr:col>11</xdr:col>
      <xdr:colOff>605948</xdr:colOff>
      <xdr:row>8</xdr:row>
      <xdr:rowOff>372908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43B8A803-AF5F-4A07-846B-441DA6E7E97B}"/>
            </a:ext>
          </a:extLst>
        </xdr:cNvPr>
        <xdr:cNvCxnSpPr/>
      </xdr:nvCxnSpPr>
      <xdr:spPr>
        <a:xfrm rot="16200000" flipH="1">
          <a:off x="7650795" y="1359855"/>
          <a:ext cx="1268258" cy="624998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8</xdr:row>
      <xdr:rowOff>352425</xdr:rowOff>
    </xdr:from>
    <xdr:to>
      <xdr:col>11</xdr:col>
      <xdr:colOff>605948</xdr:colOff>
      <xdr:row>12</xdr:row>
      <xdr:rowOff>268133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10DA979A-AE4A-45DD-B082-0F097E656E2C}"/>
            </a:ext>
          </a:extLst>
        </xdr:cNvPr>
        <xdr:cNvCxnSpPr/>
      </xdr:nvCxnSpPr>
      <xdr:spPr>
        <a:xfrm rot="16200000" flipH="1">
          <a:off x="7650795" y="2607630"/>
          <a:ext cx="1268258" cy="624998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12</xdr:row>
      <xdr:rowOff>180975</xdr:rowOff>
    </xdr:from>
    <xdr:to>
      <xdr:col>11</xdr:col>
      <xdr:colOff>605948</xdr:colOff>
      <xdr:row>16</xdr:row>
      <xdr:rowOff>287183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D20038AE-5072-4E24-93A4-D584485FC0CA}"/>
            </a:ext>
          </a:extLst>
        </xdr:cNvPr>
        <xdr:cNvCxnSpPr/>
      </xdr:nvCxnSpPr>
      <xdr:spPr>
        <a:xfrm rot="16200000" flipH="1">
          <a:off x="7650795" y="3788730"/>
          <a:ext cx="1268258" cy="624998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596349</xdr:colOff>
      <xdr:row>4</xdr:row>
      <xdr:rowOff>289891</xdr:rowOff>
    </xdr:from>
    <xdr:to>
      <xdr:col>9</xdr:col>
      <xdr:colOff>2147</xdr:colOff>
      <xdr:row>8</xdr:row>
      <xdr:rowOff>396099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87D62A63-6BB7-4A68-BFDF-FB8014216108}"/>
            </a:ext>
          </a:extLst>
        </xdr:cNvPr>
        <xdr:cNvCxnSpPr/>
      </xdr:nvCxnSpPr>
      <xdr:spPr>
        <a:xfrm rot="16200000" flipH="1">
          <a:off x="5414491" y="1377249"/>
          <a:ext cx="1265773" cy="631624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596351</xdr:colOff>
      <xdr:row>8</xdr:row>
      <xdr:rowOff>372718</xdr:rowOff>
    </xdr:from>
    <xdr:to>
      <xdr:col>9</xdr:col>
      <xdr:colOff>2149</xdr:colOff>
      <xdr:row>12</xdr:row>
      <xdr:rowOff>288426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841B0FD3-214C-4DDA-924D-30AE033CCB2B}"/>
            </a:ext>
          </a:extLst>
        </xdr:cNvPr>
        <xdr:cNvCxnSpPr/>
      </xdr:nvCxnSpPr>
      <xdr:spPr>
        <a:xfrm rot="16200000" flipH="1">
          <a:off x="5414493" y="2619641"/>
          <a:ext cx="1265773" cy="631624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596349</xdr:colOff>
      <xdr:row>12</xdr:row>
      <xdr:rowOff>165653</xdr:rowOff>
    </xdr:from>
    <xdr:to>
      <xdr:col>9</xdr:col>
      <xdr:colOff>2147</xdr:colOff>
      <xdr:row>16</xdr:row>
      <xdr:rowOff>271861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EF450FAA-43E1-4890-956C-EBB253B85CDD}"/>
            </a:ext>
          </a:extLst>
        </xdr:cNvPr>
        <xdr:cNvCxnSpPr/>
      </xdr:nvCxnSpPr>
      <xdr:spPr>
        <a:xfrm rot="16200000" flipH="1">
          <a:off x="5414491" y="3762641"/>
          <a:ext cx="1265773" cy="631624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599663</xdr:colOff>
      <xdr:row>16</xdr:row>
      <xdr:rowOff>168967</xdr:rowOff>
    </xdr:from>
    <xdr:to>
      <xdr:col>9</xdr:col>
      <xdr:colOff>5461</xdr:colOff>
      <xdr:row>20</xdr:row>
      <xdr:rowOff>275175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75037BE1-259A-4BB2-99BD-C066101E9290}"/>
            </a:ext>
          </a:extLst>
        </xdr:cNvPr>
        <xdr:cNvCxnSpPr/>
      </xdr:nvCxnSpPr>
      <xdr:spPr>
        <a:xfrm rot="16200000" flipH="1">
          <a:off x="5417805" y="4925520"/>
          <a:ext cx="1265773" cy="631624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594695</xdr:colOff>
      <xdr:row>20</xdr:row>
      <xdr:rowOff>139151</xdr:rowOff>
    </xdr:from>
    <xdr:to>
      <xdr:col>9</xdr:col>
      <xdr:colOff>493</xdr:colOff>
      <xdr:row>24</xdr:row>
      <xdr:rowOff>245358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8079810B-EBE3-4427-B23A-D842A5D34CCA}"/>
            </a:ext>
          </a:extLst>
        </xdr:cNvPr>
        <xdr:cNvCxnSpPr/>
      </xdr:nvCxnSpPr>
      <xdr:spPr>
        <a:xfrm rot="16200000" flipH="1">
          <a:off x="5412837" y="6055269"/>
          <a:ext cx="1265773" cy="631624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598009</xdr:colOff>
      <xdr:row>24</xdr:row>
      <xdr:rowOff>84486</xdr:rowOff>
    </xdr:from>
    <xdr:to>
      <xdr:col>9</xdr:col>
      <xdr:colOff>3807</xdr:colOff>
      <xdr:row>28</xdr:row>
      <xdr:rowOff>190694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7D945E98-B907-44A6-91C2-2B7985C318CE}"/>
            </a:ext>
          </a:extLst>
        </xdr:cNvPr>
        <xdr:cNvCxnSpPr/>
      </xdr:nvCxnSpPr>
      <xdr:spPr>
        <a:xfrm rot="16200000" flipH="1">
          <a:off x="5416151" y="7160170"/>
          <a:ext cx="1265773" cy="631624"/>
        </a:xfrm>
        <a:prstGeom prst="bentConnector3">
          <a:avLst>
            <a:gd name="adj1" fmla="val 99676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11206</xdr:colOff>
      <xdr:row>8</xdr:row>
      <xdr:rowOff>381000</xdr:rowOff>
    </xdr:from>
    <xdr:to>
      <xdr:col>14</xdr:col>
      <xdr:colOff>13138</xdr:colOff>
      <xdr:row>8</xdr:row>
      <xdr:rowOff>381000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F42ED82A-F133-48A2-9193-65866D9F2352}"/>
            </a:ext>
          </a:extLst>
        </xdr:cNvPr>
        <xdr:cNvCxnSpPr/>
      </xdr:nvCxnSpPr>
      <xdr:spPr>
        <a:xfrm>
          <a:off x="9831809" y="2305707"/>
          <a:ext cx="612846" cy="0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X56"/>
  <sheetViews>
    <sheetView tabSelected="1" zoomScale="70" zoomScaleNormal="70" workbookViewId="0">
      <selection activeCell="U16" sqref="U16"/>
    </sheetView>
  </sheetViews>
  <sheetFormatPr defaultRowHeight="15" x14ac:dyDescent="0.25"/>
  <cols>
    <col min="4" max="4" width="16" style="1" customWidth="1"/>
    <col min="5" max="6" width="9.140625" style="1"/>
    <col min="7" max="7" width="15" style="1" customWidth="1"/>
    <col min="8" max="9" width="9.140625" style="1"/>
    <col min="10" max="10" width="15.7109375" style="1" customWidth="1"/>
    <col min="11" max="12" width="9.140625" style="1"/>
    <col min="13" max="13" width="18.140625" style="1" customWidth="1"/>
    <col min="14" max="14" width="9.140625" style="1"/>
    <col min="15" max="15" width="11.7109375" bestFit="1" customWidth="1"/>
    <col min="17" max="17" width="9.140625" style="1"/>
    <col min="18" max="18" width="22.7109375" style="1" customWidth="1"/>
    <col min="19" max="24" width="9.140625" style="1"/>
  </cols>
  <sheetData>
    <row r="4" spans="3:18" ht="15.75" thickBot="1" x14ac:dyDescent="0.3">
      <c r="F4" s="1" t="s">
        <v>27</v>
      </c>
      <c r="G4" s="1">
        <f>(G7*G6)/(24*0.9)</f>
        <v>4.2649125514403288</v>
      </c>
      <c r="I4" s="1" t="s">
        <v>27</v>
      </c>
      <c r="J4" s="1">
        <f>(J7*J6)/(12*0.9)</f>
        <v>1.6768425925925925</v>
      </c>
      <c r="L4" s="1" t="s">
        <v>27</v>
      </c>
      <c r="M4" s="1">
        <f>(M7*M6)/(5*0.9)</f>
        <v>1.10198</v>
      </c>
    </row>
    <row r="5" spans="3:18" ht="45.75" thickBot="1" x14ac:dyDescent="0.3">
      <c r="D5" s="2" t="s">
        <v>0</v>
      </c>
      <c r="G5" s="2" t="s">
        <v>1</v>
      </c>
      <c r="J5" s="2" t="s">
        <v>2</v>
      </c>
      <c r="M5" s="2" t="s">
        <v>3</v>
      </c>
      <c r="R5" s="5" t="s">
        <v>11</v>
      </c>
    </row>
    <row r="6" spans="3:18" x14ac:dyDescent="0.25">
      <c r="C6" s="7" t="s">
        <v>24</v>
      </c>
      <c r="D6" s="7">
        <f>G4</f>
        <v>4.2649125514403288</v>
      </c>
      <c r="F6" s="7" t="s">
        <v>24</v>
      </c>
      <c r="G6" s="7">
        <f>J4+J10+J14+J18+J22+J26+J30</f>
        <v>7.6768425925925925</v>
      </c>
      <c r="I6" s="7" t="s">
        <v>24</v>
      </c>
      <c r="J6" s="7">
        <f>M4+M10+M14+M18</f>
        <v>3.6219799999999998</v>
      </c>
      <c r="L6" s="7" t="s">
        <v>24</v>
      </c>
      <c r="M6" s="7">
        <f>R6+R10+R14+R18+R22+R26+R30+R34+R38+R42+R46+R50+R54</f>
        <v>1.5026999999999999</v>
      </c>
      <c r="Q6" s="7" t="s">
        <v>24</v>
      </c>
      <c r="R6" s="7">
        <v>0.32</v>
      </c>
    </row>
    <row r="7" spans="3:18" x14ac:dyDescent="0.25">
      <c r="C7" s="7" t="s">
        <v>25</v>
      </c>
      <c r="D7" s="7">
        <v>24</v>
      </c>
      <c r="F7" s="7" t="s">
        <v>25</v>
      </c>
      <c r="G7" s="7">
        <v>12</v>
      </c>
      <c r="I7" s="7" t="s">
        <v>25</v>
      </c>
      <c r="J7" s="7">
        <v>5</v>
      </c>
      <c r="L7" s="7" t="s">
        <v>25</v>
      </c>
      <c r="M7" s="7">
        <v>3.3</v>
      </c>
      <c r="Q7" s="7" t="s">
        <v>25</v>
      </c>
      <c r="R7" s="7">
        <v>3.3</v>
      </c>
    </row>
    <row r="8" spans="3:18" ht="15.75" thickBot="1" x14ac:dyDescent="0.3">
      <c r="C8" s="7" t="s">
        <v>26</v>
      </c>
      <c r="D8" s="7">
        <f>D7*D6</f>
        <v>102.35790123456789</v>
      </c>
      <c r="F8" s="7" t="s">
        <v>26</v>
      </c>
      <c r="G8" s="7">
        <f>G7*G6</f>
        <v>92.12211111111111</v>
      </c>
      <c r="I8" s="7" t="s">
        <v>26</v>
      </c>
      <c r="J8" s="7">
        <f>J7*J6</f>
        <v>18.1099</v>
      </c>
      <c r="L8" s="7" t="s">
        <v>26</v>
      </c>
      <c r="M8" s="7">
        <f>M7*M6</f>
        <v>4.9589099999999995</v>
      </c>
      <c r="Q8" s="7" t="s">
        <v>26</v>
      </c>
      <c r="R8" s="7">
        <f>R7*R6</f>
        <v>1.056</v>
      </c>
    </row>
    <row r="9" spans="3:18" ht="60.75" thickBot="1" x14ac:dyDescent="0.3">
      <c r="J9" s="3" t="s">
        <v>4</v>
      </c>
      <c r="M9" s="2" t="s">
        <v>8</v>
      </c>
      <c r="O9" s="6" t="s">
        <v>21</v>
      </c>
      <c r="R9" s="5" t="s">
        <v>12</v>
      </c>
    </row>
    <row r="10" spans="3:18" x14ac:dyDescent="0.25">
      <c r="I10" s="7" t="s">
        <v>24</v>
      </c>
      <c r="J10" s="7">
        <v>0.5</v>
      </c>
      <c r="L10" s="7" t="s">
        <v>24</v>
      </c>
      <c r="M10" s="7">
        <v>0.02</v>
      </c>
      <c r="N10" s="7" t="s">
        <v>24</v>
      </c>
      <c r="O10" s="7">
        <v>0.01</v>
      </c>
      <c r="Q10" s="7" t="s">
        <v>24</v>
      </c>
      <c r="R10" s="7">
        <v>6.9999999999999999E-4</v>
      </c>
    </row>
    <row r="11" spans="3:18" x14ac:dyDescent="0.25">
      <c r="I11" s="7" t="s">
        <v>25</v>
      </c>
      <c r="J11" s="7">
        <v>12</v>
      </c>
      <c r="L11" s="7" t="s">
        <v>25</v>
      </c>
      <c r="M11" s="7">
        <v>5</v>
      </c>
      <c r="N11" s="7" t="s">
        <v>25</v>
      </c>
      <c r="O11" s="7">
        <v>5</v>
      </c>
      <c r="Q11" s="7" t="s">
        <v>25</v>
      </c>
      <c r="R11" s="7">
        <v>3.3</v>
      </c>
    </row>
    <row r="12" spans="3:18" ht="15.75" thickBot="1" x14ac:dyDescent="0.3">
      <c r="I12" s="7" t="s">
        <v>26</v>
      </c>
      <c r="J12" s="7">
        <f>J11*J10</f>
        <v>6</v>
      </c>
      <c r="L12" s="7" t="s">
        <v>26</v>
      </c>
      <c r="M12" s="7">
        <f>M11*M10</f>
        <v>0.1</v>
      </c>
      <c r="N12" s="7" t="s">
        <v>26</v>
      </c>
      <c r="O12" s="7">
        <f>O11*O10</f>
        <v>0.05</v>
      </c>
      <c r="Q12" s="7" t="s">
        <v>26</v>
      </c>
      <c r="R12" s="7">
        <f>R11*R10</f>
        <v>2.31E-3</v>
      </c>
    </row>
    <row r="13" spans="3:18" ht="45.75" thickBot="1" x14ac:dyDescent="0.3">
      <c r="J13" s="3" t="s">
        <v>4</v>
      </c>
      <c r="M13" s="4" t="s">
        <v>9</v>
      </c>
      <c r="R13" s="6" t="s">
        <v>13</v>
      </c>
    </row>
    <row r="14" spans="3:18" x14ac:dyDescent="0.25">
      <c r="I14" s="7" t="s">
        <v>24</v>
      </c>
      <c r="J14" s="7">
        <v>0.5</v>
      </c>
      <c r="L14" s="7" t="s">
        <v>24</v>
      </c>
      <c r="M14" s="7">
        <v>0.5</v>
      </c>
      <c r="Q14" s="7" t="s">
        <v>24</v>
      </c>
      <c r="R14" s="7">
        <v>0.3</v>
      </c>
    </row>
    <row r="15" spans="3:18" x14ac:dyDescent="0.25">
      <c r="I15" s="7" t="s">
        <v>25</v>
      </c>
      <c r="J15" s="7">
        <v>12</v>
      </c>
      <c r="L15" s="7" t="s">
        <v>25</v>
      </c>
      <c r="M15" s="7">
        <v>5</v>
      </c>
      <c r="Q15" s="7" t="s">
        <v>25</v>
      </c>
      <c r="R15" s="7">
        <v>3.3</v>
      </c>
    </row>
    <row r="16" spans="3:18" ht="15.75" thickBot="1" x14ac:dyDescent="0.3">
      <c r="I16" s="7" t="s">
        <v>26</v>
      </c>
      <c r="J16" s="7">
        <f>J15*J14</f>
        <v>6</v>
      </c>
      <c r="L16" s="7" t="s">
        <v>26</v>
      </c>
      <c r="M16" s="7">
        <f>M15*M14</f>
        <v>2.5</v>
      </c>
      <c r="Q16" s="7" t="s">
        <v>26</v>
      </c>
      <c r="R16" s="7">
        <f>R15*R14</f>
        <v>0.98999999999999988</v>
      </c>
    </row>
    <row r="17" spans="9:18" ht="45.75" thickBot="1" x14ac:dyDescent="0.3">
      <c r="J17" s="3" t="s">
        <v>5</v>
      </c>
      <c r="M17" s="4" t="s">
        <v>10</v>
      </c>
      <c r="R17" s="5" t="s">
        <v>14</v>
      </c>
    </row>
    <row r="18" spans="9:18" x14ac:dyDescent="0.25">
      <c r="I18" s="7" t="s">
        <v>24</v>
      </c>
      <c r="J18" s="7">
        <v>2</v>
      </c>
      <c r="L18" s="7" t="s">
        <v>24</v>
      </c>
      <c r="M18" s="7">
        <v>2</v>
      </c>
      <c r="Q18" s="7" t="s">
        <v>24</v>
      </c>
      <c r="R18" s="7">
        <v>2E-3</v>
      </c>
    </row>
    <row r="19" spans="9:18" x14ac:dyDescent="0.25">
      <c r="I19" s="7" t="s">
        <v>25</v>
      </c>
      <c r="J19" s="7">
        <v>12</v>
      </c>
      <c r="L19" s="7" t="s">
        <v>25</v>
      </c>
      <c r="M19" s="7">
        <v>5</v>
      </c>
      <c r="Q19" s="7" t="s">
        <v>25</v>
      </c>
      <c r="R19" s="7">
        <v>3.3</v>
      </c>
    </row>
    <row r="20" spans="9:18" ht="15.75" thickBot="1" x14ac:dyDescent="0.3">
      <c r="I20" s="7" t="s">
        <v>26</v>
      </c>
      <c r="J20" s="7">
        <f>J19*J18</f>
        <v>24</v>
      </c>
      <c r="L20" s="7" t="s">
        <v>26</v>
      </c>
      <c r="M20" s="7">
        <f>M19*M18</f>
        <v>10</v>
      </c>
      <c r="Q20" s="7" t="s">
        <v>26</v>
      </c>
      <c r="R20" s="7">
        <f>R19*R18</f>
        <v>6.6E-3</v>
      </c>
    </row>
    <row r="21" spans="9:18" ht="45.75" thickBot="1" x14ac:dyDescent="0.3">
      <c r="J21" s="3" t="s">
        <v>6</v>
      </c>
      <c r="R21" s="5" t="s">
        <v>15</v>
      </c>
    </row>
    <row r="22" spans="9:18" x14ac:dyDescent="0.25">
      <c r="I22" s="7" t="s">
        <v>24</v>
      </c>
      <c r="J22" s="7">
        <v>1</v>
      </c>
      <c r="Q22" s="7" t="s">
        <v>24</v>
      </c>
      <c r="R22" s="7">
        <v>0.2</v>
      </c>
    </row>
    <row r="23" spans="9:18" x14ac:dyDescent="0.25">
      <c r="I23" s="7" t="s">
        <v>25</v>
      </c>
      <c r="J23" s="7">
        <v>12</v>
      </c>
      <c r="Q23" s="7" t="s">
        <v>25</v>
      </c>
      <c r="R23" s="7">
        <v>3.3</v>
      </c>
    </row>
    <row r="24" spans="9:18" ht="15.75" thickBot="1" x14ac:dyDescent="0.3">
      <c r="I24" s="7" t="s">
        <v>26</v>
      </c>
      <c r="J24" s="7">
        <f>J23*J22</f>
        <v>12</v>
      </c>
      <c r="Q24" s="7" t="s">
        <v>26</v>
      </c>
      <c r="R24" s="7">
        <f>R23*R22</f>
        <v>0.66</v>
      </c>
    </row>
    <row r="25" spans="9:18" ht="45.75" thickBot="1" x14ac:dyDescent="0.3">
      <c r="J25" s="3" t="s">
        <v>6</v>
      </c>
      <c r="R25" s="6" t="s">
        <v>16</v>
      </c>
    </row>
    <row r="26" spans="9:18" x14ac:dyDescent="0.25">
      <c r="I26" s="7" t="s">
        <v>24</v>
      </c>
      <c r="J26" s="7">
        <v>1</v>
      </c>
      <c r="Q26" s="7" t="s">
        <v>24</v>
      </c>
      <c r="R26" s="7">
        <v>0.1</v>
      </c>
    </row>
    <row r="27" spans="9:18" x14ac:dyDescent="0.25">
      <c r="I27" s="7" t="s">
        <v>25</v>
      </c>
      <c r="J27" s="7">
        <v>12</v>
      </c>
      <c r="Q27" s="7" t="s">
        <v>25</v>
      </c>
      <c r="R27" s="7">
        <v>3.3</v>
      </c>
    </row>
    <row r="28" spans="9:18" ht="15.75" thickBot="1" x14ac:dyDescent="0.3">
      <c r="I28" s="7" t="s">
        <v>26</v>
      </c>
      <c r="J28" s="7">
        <f>J27*J26</f>
        <v>12</v>
      </c>
      <c r="Q28" s="7" t="s">
        <v>26</v>
      </c>
      <c r="R28" s="7">
        <f>R27*R26</f>
        <v>0.33</v>
      </c>
    </row>
    <row r="29" spans="9:18" ht="30.75" thickBot="1" x14ac:dyDescent="0.3">
      <c r="J29" s="3" t="s">
        <v>7</v>
      </c>
      <c r="R29" s="6" t="s">
        <v>17</v>
      </c>
    </row>
    <row r="30" spans="9:18" x14ac:dyDescent="0.25">
      <c r="I30" s="7" t="s">
        <v>24</v>
      </c>
      <c r="J30" s="7">
        <v>1</v>
      </c>
      <c r="Q30" s="7" t="s">
        <v>24</v>
      </c>
      <c r="R30" s="7">
        <v>0</v>
      </c>
    </row>
    <row r="31" spans="9:18" x14ac:dyDescent="0.25">
      <c r="I31" s="7" t="s">
        <v>25</v>
      </c>
      <c r="J31" s="7">
        <v>12</v>
      </c>
      <c r="Q31" s="7" t="s">
        <v>25</v>
      </c>
      <c r="R31" s="7">
        <v>0</v>
      </c>
    </row>
    <row r="32" spans="9:18" ht="15.75" thickBot="1" x14ac:dyDescent="0.3">
      <c r="I32" s="7" t="s">
        <v>26</v>
      </c>
      <c r="J32" s="7">
        <f>J31*J30</f>
        <v>12</v>
      </c>
      <c r="Q32" s="7" t="s">
        <v>26</v>
      </c>
      <c r="R32" s="7">
        <f>R31*R30</f>
        <v>0</v>
      </c>
    </row>
    <row r="33" spans="17:18" ht="15.75" thickBot="1" x14ac:dyDescent="0.3">
      <c r="R33" s="6" t="s">
        <v>18</v>
      </c>
    </row>
    <row r="34" spans="17:18" x14ac:dyDescent="0.25">
      <c r="Q34" s="7" t="s">
        <v>24</v>
      </c>
      <c r="R34" s="7">
        <v>0.5</v>
      </c>
    </row>
    <row r="35" spans="17:18" x14ac:dyDescent="0.25">
      <c r="Q35" s="7" t="s">
        <v>25</v>
      </c>
      <c r="R35" s="7">
        <v>3.3</v>
      </c>
    </row>
    <row r="36" spans="17:18" ht="15.75" thickBot="1" x14ac:dyDescent="0.3">
      <c r="Q36" s="7" t="s">
        <v>26</v>
      </c>
      <c r="R36" s="7">
        <f>R35*R34</f>
        <v>1.65</v>
      </c>
    </row>
    <row r="37" spans="17:18" ht="60.75" thickBot="1" x14ac:dyDescent="0.3">
      <c r="R37" s="5" t="s">
        <v>19</v>
      </c>
    </row>
    <row r="38" spans="17:18" x14ac:dyDescent="0.25">
      <c r="Q38" s="7" t="s">
        <v>24</v>
      </c>
      <c r="R38" s="7">
        <v>0.01</v>
      </c>
    </row>
    <row r="39" spans="17:18" x14ac:dyDescent="0.25">
      <c r="Q39" s="7" t="s">
        <v>25</v>
      </c>
      <c r="R39" s="7">
        <v>3.3</v>
      </c>
    </row>
    <row r="40" spans="17:18" ht="15.75" thickBot="1" x14ac:dyDescent="0.3">
      <c r="Q40" s="7" t="s">
        <v>26</v>
      </c>
      <c r="R40" s="7">
        <f>R39*R38</f>
        <v>3.3000000000000002E-2</v>
      </c>
    </row>
    <row r="41" spans="17:18" ht="15.75" thickBot="1" x14ac:dyDescent="0.3">
      <c r="R41" s="6" t="s">
        <v>20</v>
      </c>
    </row>
    <row r="42" spans="17:18" x14ac:dyDescent="0.25">
      <c r="Q42" s="7" t="s">
        <v>24</v>
      </c>
      <c r="R42" s="7">
        <v>0.05</v>
      </c>
    </row>
    <row r="43" spans="17:18" x14ac:dyDescent="0.25">
      <c r="Q43" s="7" t="s">
        <v>25</v>
      </c>
      <c r="R43" s="7">
        <v>3.3</v>
      </c>
    </row>
    <row r="44" spans="17:18" ht="15.75" thickBot="1" x14ac:dyDescent="0.3">
      <c r="Q44" s="7" t="s">
        <v>26</v>
      </c>
      <c r="R44" s="7">
        <f>R43*R42</f>
        <v>0.16500000000000001</v>
      </c>
    </row>
    <row r="45" spans="17:18" ht="15.75" thickBot="1" x14ac:dyDescent="0.3">
      <c r="R45" s="6" t="s">
        <v>21</v>
      </c>
    </row>
    <row r="46" spans="17:18" x14ac:dyDescent="0.25">
      <c r="Q46" s="7" t="s">
        <v>24</v>
      </c>
      <c r="R46" s="7">
        <v>0.01</v>
      </c>
    </row>
    <row r="47" spans="17:18" x14ac:dyDescent="0.25">
      <c r="Q47" s="7" t="s">
        <v>25</v>
      </c>
      <c r="R47" s="7">
        <v>3.3</v>
      </c>
    </row>
    <row r="48" spans="17:18" ht="15.75" thickBot="1" x14ac:dyDescent="0.3">
      <c r="Q48" s="7" t="s">
        <v>26</v>
      </c>
      <c r="R48" s="7">
        <f>R47*R46</f>
        <v>3.3000000000000002E-2</v>
      </c>
    </row>
    <row r="49" spans="17:18" ht="15.75" thickBot="1" x14ac:dyDescent="0.3">
      <c r="R49" s="6" t="s">
        <v>22</v>
      </c>
    </row>
    <row r="50" spans="17:18" x14ac:dyDescent="0.25">
      <c r="Q50" s="7" t="s">
        <v>24</v>
      </c>
      <c r="R50" s="7">
        <v>0.01</v>
      </c>
    </row>
    <row r="51" spans="17:18" x14ac:dyDescent="0.25">
      <c r="Q51" s="7" t="s">
        <v>25</v>
      </c>
      <c r="R51" s="7">
        <v>3.3</v>
      </c>
    </row>
    <row r="52" spans="17:18" ht="15.75" thickBot="1" x14ac:dyDescent="0.3">
      <c r="Q52" s="7" t="s">
        <v>26</v>
      </c>
      <c r="R52" s="7">
        <f>R51*R50</f>
        <v>3.3000000000000002E-2</v>
      </c>
    </row>
    <row r="53" spans="17:18" ht="30.75" thickBot="1" x14ac:dyDescent="0.3">
      <c r="R53" s="5" t="s">
        <v>23</v>
      </c>
    </row>
    <row r="54" spans="17:18" x14ac:dyDescent="0.25">
      <c r="Q54" s="7" t="s">
        <v>24</v>
      </c>
      <c r="R54" s="7">
        <v>0</v>
      </c>
    </row>
    <row r="55" spans="17:18" x14ac:dyDescent="0.25">
      <c r="Q55" s="7" t="s">
        <v>25</v>
      </c>
      <c r="R55" s="7">
        <v>0</v>
      </c>
    </row>
    <row r="56" spans="17:18" x14ac:dyDescent="0.25">
      <c r="Q56" s="7" t="s">
        <v>26</v>
      </c>
      <c r="R56" s="7">
        <f>R55*R54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Aleksandar Aleksic</cp:lastModifiedBy>
  <dcterms:created xsi:type="dcterms:W3CDTF">2015-06-05T18:17:20Z</dcterms:created>
  <dcterms:modified xsi:type="dcterms:W3CDTF">2026-03-20T23:58:35Z</dcterms:modified>
</cp:coreProperties>
</file>